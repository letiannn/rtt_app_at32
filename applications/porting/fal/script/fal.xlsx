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home" sheetId="1" r:id="rId1"/>
    <sheet name="f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<sst xmlns="http://schemas.openxmlformats.org/spreadsheetml/2006/main" count="57" uniqueCount="29">
  <si>
    <t>分区表</t>
  </si>
  <si>
    <t>日期</t>
  </si>
  <si>
    <t>版本</t>
  </si>
  <si>
    <t>V1.0.0</t>
  </si>
  <si>
    <t>修改人</t>
  </si>
  <si>
    <t>Letian</t>
  </si>
  <si>
    <t>存储名称</t>
  </si>
  <si>
    <t>分区名称</t>
  </si>
  <si>
    <t>起始地址</t>
  </si>
  <si>
    <t>起始地址(hex)</t>
  </si>
  <si>
    <t>分区大小</t>
  </si>
  <si>
    <t>单位</t>
  </si>
  <si>
    <t>使用大小</t>
  </si>
  <si>
    <t>所有大小</t>
  </si>
  <si>
    <t>onchip_flash</t>
  </si>
  <si>
    <t>boot</t>
  </si>
  <si>
    <t>KB</t>
  </si>
  <si>
    <t>app</t>
  </si>
  <si>
    <t>w25q64</t>
  </si>
  <si>
    <t>sysinfo</t>
  </si>
  <si>
    <t>reserved</t>
  </si>
  <si>
    <t>factory</t>
  </si>
  <si>
    <t>ota</t>
  </si>
  <si>
    <t>kvdb</t>
  </si>
  <si>
    <t>tsdb</t>
  </si>
  <si>
    <t>lfs</t>
  </si>
  <si>
    <t>userdata</t>
  </si>
  <si>
    <t/>
  </si>
  <si>
    <t>log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</si>
</sst>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FFFFFF"/>
      <name val="等线"/>
      <charset val="134"/>
    </font>
    <font>
      <b/>
      <sz val="12"/>
      <color rgb="FF000000"/>
      <name val="等线"/>
      <charset val="134"/>
    </font>
    <font>
      <b/>
      <sz val="11"/>
      <color rgb="FF006100"/>
      <name val="等线"/>
      <charset val="134"/>
    </font>
    <font>
      <b/>
      <sz val="11"/>
      <color rgb="FF00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6" borderId="4" xfId="0" applyFont="1" applyFill="1" applyBorder="1" applyAlignment="1">
      <alignment horizontal="center"/>
    </xf>
    <xf numFmtId="14" fontId="3" fillId="6" borderId="5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0" fillId="0" borderId="0" xfId="0" applyAlignment="1" quotePrefix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B4"/>
  <sheetViews>
    <sheetView workbookViewId="0">
      <selection activeCell="B9" sqref="B9"/>
    </sheetView>
  </sheetViews>
  <sheetFormatPr defaultColWidth="9" defaultRowHeight="13.5" outlineLevelRow="3" outlineLevelCol="1"/>
  <cols>
    <col min="1" max="1" width="25.5583333333333" style="10" customWidth="1"/>
    <col min="2" max="2" width="38.6666666666667" style="11" customWidth="1"/>
  </cols>
  <sheetData>
    <row r="1" ht="18.75" customHeight="1" spans="1:2">
      <c r="A1" s="12" t="s">
        <v>0</v>
      </c>
      <c r="B1" s="13"/>
    </row>
    <row r="2" ht="18.75" customHeight="1" spans="1:2">
      <c r="A2" s="14" t="s">
        <v>1</v>
      </c>
      <c r="B2" s="15">
        <v>45708</v>
      </c>
    </row>
    <row r="3" ht="18.75" customHeight="1" spans="1:2">
      <c r="A3" s="14" t="s">
        <v>2</v>
      </c>
      <c r="B3" s="15" t="s">
        <v>3</v>
      </c>
    </row>
    <row r="4" ht="18.75" customHeight="1" spans="1:2">
      <c r="A4" s="14" t="s">
        <v>4</v>
      </c>
      <c r="B4" s="15" t="s">
        <v>5</v>
      </c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13"/>
  <sheetViews>
    <sheetView tabSelected="1" workbookViewId="0">
      <selection activeCell="I9" sqref="I9"/>
    </sheetView>
  </sheetViews>
  <sheetFormatPr defaultColWidth="9" defaultRowHeight="13.5"/>
  <cols>
    <col min="1" max="1" width="15.6666666666667" style="2" customWidth="1"/>
    <col min="2" max="2" width="13.5583333333333" style="2" customWidth="1"/>
    <col min="3" max="3" width="13.8833333333333" style="2" customWidth="1"/>
    <col min="4" max="4" width="18" style="2" customWidth="1"/>
    <col min="5" max="5" width="13" style="2" customWidth="1"/>
    <col min="6" max="6" width="8.75" style="2" customWidth="1"/>
    <col min="7" max="7" width="4.88333333333333" customWidth="1"/>
    <col min="8" max="9" width="13.3333333333333" style="1" customWidth="1"/>
    <col min="10" max="10" width="17.3333333333333" style="1" customWidth="1"/>
    <col min="11" max="11" width="13.5583333333333" style="1" customWidth="1"/>
  </cols>
  <sheetData>
    <row r="1" s="1" customFormat="1" ht="18.75" customHeight="1" spans="1:1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4" t="s">
        <v>11</v>
      </c>
      <c r="H1" s="3" t="s">
        <v>6</v>
      </c>
      <c r="I1" s="5" t="s">
        <v>12</v>
      </c>
      <c r="J1" s="4" t="s">
        <v>13</v>
      </c>
      <c r="K1" s="4" t="s">
        <v>11</v>
      </c>
    </row>
    <row r="2" s="1" customFormat="1" ht="18.75" customHeight="1" spans="1:11">
      <c r="A2" s="6" t="s">
        <v>14</v>
      </c>
      <c r="B2" s="6" t="s">
        <v>15</v>
      </c>
      <c r="C2" s="6">
        <v>0</v>
      </c>
      <c r="D2" s="6" t="str">
        <f>"0x"&amp;DEC2HEX(C2,8)</f>
        <v>0x00000000</v>
      </c>
      <c r="E2" s="6">
        <v>128</v>
      </c>
      <c r="F2" s="6" t="s">
        <v>16</v>
      </c>
      <c r="H2" s="7" t="s">
        <v>14</v>
      </c>
      <c r="I2" s="8">
        <f>SUM(E2:E5)</f>
        <v>660</v>
      </c>
      <c r="J2" s="9">
        <v>1024</v>
      </c>
      <c r="K2" s="6" t="s">
        <v>16</v>
      </c>
    </row>
    <row r="3" s="1" customFormat="1" ht="18.75" customHeight="1" spans="1:11">
      <c r="A3" s="6" t="s">
        <v>14</v>
      </c>
      <c r="B3" s="6" t="s">
        <v>17</v>
      </c>
      <c r="C3" s="6">
        <f>C2+E2*1024</f>
        <v>131072</v>
      </c>
      <c r="D3" s="6" t="str">
        <f>"0x"&amp;DEC2HEX(C3,8)</f>
        <v>0x00020000</v>
      </c>
      <c r="E3" s="6">
        <v>512</v>
      </c>
      <c r="F3" s="6" t="s">
        <v>16</v>
      </c>
      <c r="H3" s="7" t="s">
        <v>18</v>
      </c>
      <c r="I3" s="8">
        <f>SUM(E6:E13)</f>
        <v>7680</v>
      </c>
      <c r="J3" s="9">
        <v>8192</v>
      </c>
      <c r="K3" s="6" t="s">
        <v>16</v>
      </c>
    </row>
    <row r="4" s="1" customFormat="1" ht="18.75" customHeight="1" spans="1:11">
      <c r="A4" s="6" t="s">
        <v>14</v>
      </c>
      <c r="B4" s="6" t="s">
        <v>19</v>
      </c>
      <c r="C4" s="6">
        <f>C3+E3*1024</f>
        <v>655360</v>
      </c>
      <c r="D4" s="6" t="str">
        <f>"0x"&amp;DEC2HEX(C4,8)</f>
        <v>0x000A0000</v>
      </c>
      <c r="E4" s="6">
        <v>4</v>
      </c>
      <c r="F4" s="6" t="s">
        <v>16</v>
      </c>
    </row>
    <row r="5" s="1" customFormat="1" ht="18.75" customHeight="1" spans="1:11">
      <c r="A5" s="6" t="s">
        <v>14</v>
      </c>
      <c r="B5" s="6" t="s">
        <v>20</v>
      </c>
      <c r="C5" s="6">
        <f>C4+E4*1024</f>
        <v>659456</v>
      </c>
      <c r="D5" s="6" t="str">
        <f>"0x"&amp;DEC2HEX(C5,8)</f>
        <v>0x000A1000</v>
      </c>
      <c r="E5" s="6">
        <v>16</v>
      </c>
      <c r="F5" s="6" t="s">
        <v>16</v>
      </c>
    </row>
    <row r="6" s="1" customFormat="1" ht="18.75" customHeight="1" spans="1:11">
      <c r="A6" s="6" t="s">
        <v>18</v>
      </c>
      <c r="B6" s="6" t="s">
        <v>21</v>
      </c>
      <c r="C6" s="6">
        <v>0</v>
      </c>
      <c r="D6" s="6" t="str">
        <f>"0x"&amp;DEC2HEX(C6,8)</f>
        <v>0x00000000</v>
      </c>
      <c r="E6" s="6">
        <v>512</v>
      </c>
      <c r="F6" s="6" t="s">
        <v>16</v>
      </c>
    </row>
    <row r="7" s="1" customFormat="1" ht="18.75" customHeight="1" spans="1:11">
      <c r="A7" s="6" t="s">
        <v>18</v>
      </c>
      <c r="B7" s="6" t="s">
        <v>22</v>
      </c>
      <c r="C7" s="6">
        <f>C6+E6*1024</f>
        <v>524288</v>
      </c>
      <c r="D7" s="6" t="str">
        <f>"0x"&amp;DEC2HEX(C7,8)</f>
        <v>0x00080000</v>
      </c>
      <c r="E7" s="6">
        <v>512</v>
      </c>
      <c r="F7" s="6" t="s">
        <v>16</v>
      </c>
    </row>
    <row r="8" s="1" customFormat="1" ht="18.75" customHeight="1" spans="1:11">
      <c r="A8" s="6" t="s">
        <v>18</v>
      </c>
      <c r="B8" s="6" t="s">
        <v>23</v>
      </c>
      <c r="C8" s="6">
        <f t="shared" ref="C8:C13" si="0">C7+E7*1024</f>
        <v>1048576</v>
      </c>
      <c r="D8" s="6" t="str">
        <f t="shared" ref="D8:D13" si="1">"0x"&amp;DEC2HEX(C8,8)</f>
        <v>0x00100000</v>
      </c>
      <c r="E8" s="6">
        <v>512</v>
      </c>
      <c r="F8" s="6" t="s">
        <v>16</v>
      </c>
    </row>
    <row r="9" s="1" customFormat="1" ht="18.75" customHeight="1" spans="1:11">
      <c r="A9" s="6" t="s">
        <v>18</v>
      </c>
      <c r="B9" s="6" t="s">
        <v>24</v>
      </c>
      <c r="C9" s="6">
        <f t="shared" si="0"/>
        <v>1572864</v>
      </c>
      <c r="D9" s="6" t="str">
        <f t="shared" si="1"/>
        <v>0x00180000</v>
      </c>
      <c r="E9" s="6">
        <v>512</v>
      </c>
      <c r="F9" s="6" t="s">
        <v>16</v>
      </c>
    </row>
    <row r="10" s="1" customFormat="1" ht="18.75" customHeight="1" spans="1:11">
      <c r="A10" s="6" t="s">
        <v>18</v>
      </c>
      <c r="B10" s="6" t="s">
        <v>25</v>
      </c>
      <c r="C10" s="6">
        <f t="shared" si="0"/>
        <v>2097152</v>
      </c>
      <c r="D10" s="6" t="str">
        <f t="shared" si="1"/>
        <v>0x00200000</v>
      </c>
      <c r="E10" s="6">
        <v>2048</v>
      </c>
      <c r="F10" s="6" t="s">
        <v>16</v>
      </c>
    </row>
    <row r="11" s="1" customFormat="1" ht="18.75" customHeight="1" spans="1:11">
      <c r="A11" s="6" t="s">
        <v>18</v>
      </c>
      <c r="B11" s="6" t="s">
        <v>26</v>
      </c>
      <c r="C11" s="6">
        <f t="shared" si="0"/>
        <v>4194304</v>
      </c>
      <c r="D11" s="6" t="str">
        <f t="shared" si="1"/>
        <v>0x00400000</v>
      </c>
      <c r="E11" s="6">
        <v>512</v>
      </c>
      <c r="F11" s="6" t="s">
        <v>16</v>
      </c>
      <c r="H11" s="16" t="s">
        <v>27</v>
      </c>
    </row>
    <row r="12" s="1" customFormat="1" ht="18.75" customHeight="1" spans="1:11">
      <c r="A12" s="6" t="s">
        <v>18</v>
      </c>
      <c r="B12" s="6" t="s">
        <v>28</v>
      </c>
      <c r="C12" s="6">
        <f t="shared" si="0"/>
        <v>4718592</v>
      </c>
      <c r="D12" s="6" t="str">
        <f t="shared" si="1"/>
        <v>0x00480000</v>
      </c>
      <c r="E12" s="6">
        <v>2048</v>
      </c>
      <c r="F12" s="6" t="s">
        <v>16</v>
      </c>
    </row>
    <row r="13" s="1" customFormat="1" ht="18.75" customHeight="1" spans="1:11">
      <c r="A13" s="6" t="s">
        <v>18</v>
      </c>
      <c r="B13" s="6" t="s">
        <v>20</v>
      </c>
      <c r="C13" s="6">
        <f t="shared" si="0"/>
        <v>6815744</v>
      </c>
      <c r="D13" s="6" t="str">
        <f t="shared" si="1"/>
        <v>0x00680000</v>
      </c>
      <c r="E13" s="6">
        <v>1024</v>
      </c>
      <c r="F13" s="6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home</vt:lpstr>
      <vt:lpstr>fal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</dc:creator>
  <cp:lastModifiedBy>糊涂大仙</cp:lastModifiedBy>
  <dcterms:created xsi:type="dcterms:W3CDTF">2025-02-21T13:21:00Z</dcterms:created>
  <dcterms:modified xsi:type="dcterms:W3CDTF">2026-01-01T11:43:32Z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389D5A9825A14C0FB4DA58163DF63825_12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